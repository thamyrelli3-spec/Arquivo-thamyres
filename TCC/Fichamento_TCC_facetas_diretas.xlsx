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gos" sheetId="1" state="visible" r:id="rId3"/>
    <sheet name="Progresso por tópico" sheetId="2" state="visible" r:id="rId4"/>
  </sheets>
  <definedNames>
    <definedName function="false" hidden="true" localSheetId="0" name="_xlnm._FilterDatabase" vbProcedure="false">Artigos!$A$4:$L$34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<sst xmlns="http://schemas.openxmlformats.org/spreadsheetml/2006/main" count="252" uniqueCount="165">
  <si>
    <t xml:space="preserve">TCC – Faceta direta em resina composta: fichamento dos 30 artigos</t>
  </si>
  <si>
    <t xml:space="preserve">Como usar: as colunas J, K e L (em amarelo) são para você marcar 'Sim' conforme avança. Dentro de cada tópico, os artigos estão em ordem de ano, que é a ordem em que entram na Revisão de Literatura. A coluna 'Atenção' (em vermelho) aponta o que precisa ser resolvido.</t>
  </si>
  <si>
    <t xml:space="preserve">Nº</t>
  </si>
  <si>
    <t xml:space="preserve">Tópico do TCC</t>
  </si>
  <si>
    <t xml:space="preserve">Como citar no texto</t>
  </si>
  <si>
    <t xml:space="preserve">Ano</t>
  </si>
  <si>
    <t xml:space="preserve">Tipo de estudo</t>
  </si>
  <si>
    <t xml:space="preserve">Revista</t>
  </si>
  <si>
    <t xml:space="preserve">Assunto / o que fizeram</t>
  </si>
  <si>
    <t xml:space="preserve">Principal resultado / conclusão</t>
  </si>
  <si>
    <t xml:space="preserve">Atenção</t>
  </si>
  <si>
    <t xml:space="preserve">Li o artigo?</t>
  </si>
  <si>
    <t xml:space="preserve">Fiz a ficha?</t>
  </si>
  <si>
    <t xml:space="preserve">Escrevi o parágrafo?</t>
  </si>
  <si>
    <t xml:space="preserve">4.1 Facetas diretas: conceito, indicações e vantagens</t>
  </si>
  <si>
    <t xml:space="preserve">Lima et al. (2020)</t>
  </si>
  <si>
    <t xml:space="preserve">2020</t>
  </si>
  <si>
    <t xml:space="preserve">Revisão integrativa</t>
  </si>
  <si>
    <t xml:space="preserve">Brazilian Journal of Development</t>
  </si>
  <si>
    <t xml:space="preserve">Fechamento de diastema com facetas de resina associadas ao clareamento.</t>
  </si>
  <si>
    <t xml:space="preserve">Técnica rápida, de baixo custo e sem desgaste; planejamento periodontal e ortodôntico é importante.</t>
  </si>
  <si>
    <t xml:space="preserve">Silva, I. et al. (2021)</t>
  </si>
  <si>
    <t xml:space="preserve">2021</t>
  </si>
  <si>
    <t xml:space="preserve">Revisão de literatura</t>
  </si>
  <si>
    <t xml:space="preserve">Aspectos gerais das facetas diretas em dentes anteriores; vantagens e desvantagens frente a outros tratamentos.</t>
  </si>
  <si>
    <t xml:space="preserve">Baixo custo, sessão única, mínimo desgaste e fácil reparo; colaboração do paciente é essencial para a longevidade.</t>
  </si>
  <si>
    <t xml:space="preserve">Há outro 'Silva et al. (2021)': use a inicial do prenome para diferenciar.</t>
  </si>
  <si>
    <t xml:space="preserve">Alves, Peres e Lima (2022)</t>
  </si>
  <si>
    <t xml:space="preserve">2022</t>
  </si>
  <si>
    <t xml:space="preserve">Revista Cathedral</t>
  </si>
  <si>
    <t xml:space="preserve">Indicações e técnica das facetas diretas em resina composta.</t>
  </si>
  <si>
    <t xml:space="preserve">Técnica direta: morfologia, cor e propriedades ópticas adequadas; resistência pode ser menor que a indireta.</t>
  </si>
  <si>
    <t xml:space="preserve">Brito, Ferreira e Yamashita (2022)</t>
  </si>
  <si>
    <t xml:space="preserve">Revisão narrativa</t>
  </si>
  <si>
    <t xml:space="preserve">Research, Society and Development</t>
  </si>
  <si>
    <t xml:space="preserve">Indicações e longevidade das facetas diretas e indiretas (estudos de 2001 a 2022).</t>
  </si>
  <si>
    <t xml:space="preserve">Indicadas para alterações de cor, forma, posição, microdontia etc.; planejamento, acabamento e polimento garantem durabilidade.</t>
  </si>
  <si>
    <t xml:space="preserve">Soares e Borges (2023)</t>
  </si>
  <si>
    <t xml:space="preserve">2023</t>
  </si>
  <si>
    <t xml:space="preserve">Técnicas, indicações, materiais, vantagens, desvantagens e manutenção das facetas diretas.</t>
  </si>
  <si>
    <t xml:space="preserve">Procedimento menos invasivo, sessão única, bom custo-benefício; exige domínio da técnica.</t>
  </si>
  <si>
    <t xml:space="preserve">Dominguez et al. (2024)</t>
  </si>
  <si>
    <t xml:space="preserve">2024</t>
  </si>
  <si>
    <t xml:space="preserve">Revisão ampla: materiais, técnica, planejamento (análise facial, cor, mock-up), longevidade e aspectos éticos/legais.</t>
  </si>
  <si>
    <t xml:space="preserve">Facetas diretas seguem como solução eficaz e confiável quando bem indicadas e planejadas.</t>
  </si>
  <si>
    <t xml:space="preserve">Lanzaretti et al. (2025)</t>
  </si>
  <si>
    <t xml:space="preserve">2025</t>
  </si>
  <si>
    <t xml:space="preserve">Minerva Dental and Oral Science</t>
  </si>
  <si>
    <t xml:space="preserve">Aplicação clínica, evolução dos materiais e satisfação do paciente; explica a técnica passo a passo.</t>
  </si>
  <si>
    <t xml:space="preserve">Alternativa prática, acessível e reversível à cerâmica; limitações: manchamento, menor durabilidade e manutenção.</t>
  </si>
  <si>
    <t xml:space="preserve">Artigo em inglês.</t>
  </si>
  <si>
    <t xml:space="preserve">4.2 Resinas compostas: propriedades e estabilidade</t>
  </si>
  <si>
    <t xml:space="preserve">Irgang et al. (2020)</t>
  </si>
  <si>
    <t xml:space="preserve">Estudo clínico retrospectivo</t>
  </si>
  <si>
    <t xml:space="preserve">Journal of Research in Dentistry</t>
  </si>
  <si>
    <t xml:space="preserve">Avaliação de 74 facetas diretas em 28 pacientes (6 meses a 10 anos em boca), resina microparticulada x universal, critérios FDI e USPHS.</t>
  </si>
  <si>
    <t xml:space="preserve">77% de sobrevida; resina microparticulada teve melhor brilho, menos manchamento, melhor cor e adaptação marginal.</t>
  </si>
  <si>
    <t xml:space="preserve">Substitui o Manauta. Artigo em inglês.</t>
  </si>
  <si>
    <t xml:space="preserve">Fernandes et al. (2022)</t>
  </si>
  <si>
    <t xml:space="preserve">Estudo in vitro</t>
  </si>
  <si>
    <t xml:space="preserve">Revista de Odontologia da UNESP</t>
  </si>
  <si>
    <t xml:space="preserve">Microdureza de Z350 XT e One Bulk Fill com fotopolimerização imediata x pulso tardio (40 corpos de prova).</t>
  </si>
  <si>
    <t xml:space="preserve">Técnica imediata e resina Z350 XT apresentaram maior dureza.</t>
  </si>
  <si>
    <t xml:space="preserve">Tozo-Burgos, Escalante-Otárola e Sánchez-Tito (2025)</t>
  </si>
  <si>
    <t xml:space="preserve">Journal of Clinical and Experimental Dentistry</t>
  </si>
  <si>
    <t xml:space="preserve">Efeito de bebida energética (Red Bull) na microdureza e rugosidade de 5 resinas de alta translucidez por 30 dias.</t>
  </si>
  <si>
    <t xml:space="preserve">Todas perderam dureza e ganharam rugosidade; Z350 XT manteve maior dureza e Beautifil II foi a mais afetada.</t>
  </si>
  <si>
    <t xml:space="preserve">4.3 Planejamento: enceramento, mock-up, guias e clareamento</t>
  </si>
  <si>
    <t xml:space="preserve">Reis et al. (2018)</t>
  </si>
  <si>
    <t xml:space="preserve">2018</t>
  </si>
  <si>
    <t xml:space="preserve">Relato de caso</t>
  </si>
  <si>
    <t xml:space="preserve">Revista Odontológica do Brasil Central</t>
  </si>
  <si>
    <t xml:space="preserve">Mock-up com resina bisacrílica antes de facetas diretas (paciente de 21 anos), após clareamento.</t>
  </si>
  <si>
    <t xml:space="preserve">Mock-up motivou a paciente, deu previsibilidade e segurança à execução.</t>
  </si>
  <si>
    <t xml:space="preserve">Pereira et al. (2020)</t>
  </si>
  <si>
    <t xml:space="preserve">Paciente de 23 anos: clareamento, espera de 21 dias, enceramento, guia de silicone, estratificação e polimento.</t>
  </si>
  <si>
    <t xml:space="preserve">Facetas em resina são tratamento viável para sorriso harmônico.</t>
  </si>
  <si>
    <t xml:space="preserve">Oliveira et al. (2021)</t>
  </si>
  <si>
    <t xml:space="preserve">Fechamento de diastemas (paciente de 21 anos) guiado por enceramento diagnóstico e guia palatina.</t>
  </si>
  <si>
    <t xml:space="preserve">Enceramento e guia palatina deram previsibilidade; resultado depende do operador e do paciente.</t>
  </si>
  <si>
    <t xml:space="preserve">Rocha et al. (2021)</t>
  </si>
  <si>
    <t xml:space="preserve">Revista Eletrônica Acervo Saúde</t>
  </si>
  <si>
    <t xml:space="preserve">Diastemas, laterais conoides e caninos girovertidos: clareamento, enceramento, guia palatina e facetas.</t>
  </si>
  <si>
    <t xml:space="preserve">Planejamento minucioso e manutenção semestral garantem o sucesso.</t>
  </si>
  <si>
    <t xml:space="preserve">4.4 Facetas diretas em situações clínicas específicas</t>
  </si>
  <si>
    <t xml:space="preserve">Korkut, Yanıkoğlu e Günday (2013)</t>
  </si>
  <si>
    <t xml:space="preserve">2013</t>
  </si>
  <si>
    <t xml:space="preserve">Relato de casos (3)</t>
  </si>
  <si>
    <t xml:space="preserve">Journal of Dental Research, Dental Clinics, Dental Prospects</t>
  </si>
  <si>
    <t xml:space="preserve">Facetas diretas em 3 pacientes com fratura, escurecimento e restauração antiga; acompanhamento de 6 meses.</t>
  </si>
  <si>
    <t xml:space="preserve">Facetas diretas são opção para problemas estéticos anteriores semelhantes.</t>
  </si>
  <si>
    <t xml:space="preserve">Bastos et al. (2018)</t>
  </si>
  <si>
    <t xml:space="preserve">Archives of Health Investigation</t>
  </si>
  <si>
    <t xml:space="preserve">Paciente de 39 anos com alteração de cor e bruxismo: clareamento e facetas com resina supra-nano esférica.</t>
  </si>
  <si>
    <t xml:space="preserve">Após 6 meses: bom aspecto clínico, sem acúmulo de biofilme nem desgaste.</t>
  </si>
  <si>
    <t xml:space="preserve">Dias et al. (2020)</t>
  </si>
  <si>
    <t xml:space="preserve">RGO – Revista Gaúcha de Odontologia</t>
  </si>
  <si>
    <t xml:space="preserve">Paciente de 21 anos com manchas brancas de cárie inativa: clareamento e facetas diretas.</t>
  </si>
  <si>
    <t xml:space="preserve">Diagnóstico correto e planejamento adequado levaram a resultado satisfatório.</t>
  </si>
  <si>
    <t xml:space="preserve">Falcão et al. (2023)</t>
  </si>
  <si>
    <t xml:space="preserve">Revista Naval de Odontologia</t>
  </si>
  <si>
    <t xml:space="preserve">Dente 21 escurecido (paciente de 54 anos, tratado endodonticamente): faceta direta com mistura de 3 pigmentos opacificadores.</t>
  </si>
  <si>
    <t xml:space="preserve">Estabilidade de cor aos 7 meses; técnica direta previsível em sessão única.</t>
  </si>
  <si>
    <t xml:space="preserve">Joshi (2025)</t>
  </si>
  <si>
    <t xml:space="preserve">Scientiarum: A Multidisciplinary Journal</t>
  </si>
  <si>
    <t xml:space="preserve">Paciente de 43 anos com cáries, dente 22 escurecido e assimetria: clareamento interno, planejamento e facetas diretas.</t>
  </si>
  <si>
    <t xml:space="preserve">Abordagem conservadora com resultado estético excelente.</t>
  </si>
  <si>
    <t xml:space="preserve">Revista pouco conhecida e revisão muito rápida (6 dias). Artigo em inglês.</t>
  </si>
  <si>
    <t xml:space="preserve">Vookanti et al. (2026)</t>
  </si>
  <si>
    <t xml:space="preserve">2026</t>
  </si>
  <si>
    <t xml:space="preserve">University Journal of Dental Sciences</t>
  </si>
  <si>
    <t xml:space="preserve">Fluorose moderada: preparo mínimo nas áreas manchadas, estratificação com resina nano-híbrida, sessão única.</t>
  </si>
  <si>
    <t xml:space="preserve">Facetas diretas são solução previsível, conservadora e de baixo custo para fluorose.</t>
  </si>
  <si>
    <t xml:space="preserve">Confirme o sobrenome do 1º autor (o PDF mostra 'Venkat Ramana Reddy' e 'Vookanti'). Artigo em inglês.</t>
  </si>
  <si>
    <t xml:space="preserve">4.5 Facetas diretas e o periodonto</t>
  </si>
  <si>
    <t xml:space="preserve">Silva, B. et al. (2021)</t>
  </si>
  <si>
    <t xml:space="preserve">Revista Odontológica Integrativa do Centro-Oeste (ROICO)</t>
  </si>
  <si>
    <t xml:space="preserve">Sorriso gengival: planejamento digital, gengivoplastia e, 90 dias depois, clareamento e facetas do 15 ao 25.</t>
  </si>
  <si>
    <t xml:space="preserve">Abordagem multidisciplinar periodontia + dentística é essencial.</t>
  </si>
  <si>
    <t xml:space="preserve">Santos et al. (2022)</t>
  </si>
  <si>
    <t xml:space="preserve">Impacto das facetas diretas no periodonto (5 livros e 17 artigos, 2003–2021).</t>
  </si>
  <si>
    <t xml:space="preserve">Podem causar inflamação gengival se o espaço biológico não for respeitado.</t>
  </si>
  <si>
    <t xml:space="preserve">Lima, Amorim e Pereira (2023)</t>
  </si>
  <si>
    <t xml:space="preserve">Scientia Generalis</t>
  </si>
  <si>
    <t xml:space="preserve">Sorriso gengival e dentes curtos: gengivectomia em bisel interno e facetas em resina.</t>
  </si>
  <si>
    <t xml:space="preserve">Cirurgia + facetas melhoraram forma, contorno e tamanho de gengiva e dentes.</t>
  </si>
  <si>
    <t xml:space="preserve">4.6 Falhas, substituição e satisfação do paciente</t>
  </si>
  <si>
    <t xml:space="preserve">Bento et al. (2021)</t>
  </si>
  <si>
    <t xml:space="preserve">Diastema e dentes amarelados (paciente de 32 anos): clareamento, mock-up, facetas; questionário OHIP-14 antes e depois.</t>
  </si>
  <si>
    <t xml:space="preserve">O tratamento melhorou a qualidade de vida do paciente.</t>
  </si>
  <si>
    <t xml:space="preserve">Cruz, A. et al. (2021)</t>
  </si>
  <si>
    <t xml:space="preserve">Troca de 10 facetas insatisfatórias (cor ruim e sangramento gengival).</t>
  </si>
  <si>
    <t xml:space="preserve">Indicação correta, planejamento e respeito ao periodonto evitam retratamentos.</t>
  </si>
  <si>
    <t xml:space="preserve">Há 'Cruz et al.' de 2021 e de 2023 (anos diferentes, então tudo bem).</t>
  </si>
  <si>
    <t xml:space="preserve">Cruz, K. et al. (2023)</t>
  </si>
  <si>
    <t xml:space="preserve">Principais falhas na execução de facetas em resina composta.</t>
  </si>
  <si>
    <t xml:space="preserve">Principal causa: desempenho do dentista; também oclusão, parafunção e higiene do paciente.</t>
  </si>
  <si>
    <t xml:space="preserve">4.7 Longevidade: facetas diretas x indiretas</t>
  </si>
  <si>
    <t xml:space="preserve">Nalbandian e Millar (2009)</t>
  </si>
  <si>
    <t xml:space="preserve">2009</t>
  </si>
  <si>
    <t xml:space="preserve">British Dental Journal</t>
  </si>
  <si>
    <t xml:space="preserve">Opinião de 96 pacientes sobre facetas diretas em resina x cerâmica.</t>
  </si>
  <si>
    <t xml:space="preserve">Melhora estética igual; resina preferida por conservar dente, ser mais rápida e mais barata de reparar.</t>
  </si>
  <si>
    <t xml:space="preserve">Teixeira et al. (2022)</t>
  </si>
  <si>
    <t xml:space="preserve">Longevidade de facetas diretas (resina) x indiretas (porcelana) em dentes anteriores; só estudos clínicos do PubMed.</t>
  </si>
  <si>
    <t xml:space="preserve">Indiretas tiveram sobrevida um pouco maior e mais estabilidade de cor; diretas são mais fáceis de ajustar forma e cor.</t>
  </si>
  <si>
    <t xml:space="preserve">Substitui o Josic. Discorda de Galvão et al. (2025): ótimo para a Discussão.</t>
  </si>
  <si>
    <t xml:space="preserve">Vaz, Lopes e Toledo Neta (2022)</t>
  </si>
  <si>
    <t xml:space="preserve">Desalinhamento leve: cerâmica nos 6 anteriores e resina nos pré-molares, como alternativa à ortodontia.</t>
  </si>
  <si>
    <t xml:space="preserve">Associação de materiais devolveu estética e função.</t>
  </si>
  <si>
    <t xml:space="preserve">As facetas anteriores são de CERÂMICA: use só para comparação.</t>
  </si>
  <si>
    <t xml:space="preserve">Galvão et al. (2025)</t>
  </si>
  <si>
    <t xml:space="preserve">Revisão sistemática</t>
  </si>
  <si>
    <t xml:space="preserve">RSBO</t>
  </si>
  <si>
    <t xml:space="preserve">Taxa de sobrevida de facetas diretas x indiretas em resina em dentes anteriores (5 estudos incluídos).</t>
  </si>
  <si>
    <t xml:space="preserve">Facetas diretas parecem ter maior longevidade; falhas mais comuns: descolamento e fratura.</t>
  </si>
  <si>
    <t xml:space="preserve">Artigo-chave para a Discussão.</t>
  </si>
  <si>
    <t xml:space="preserve">Progresso por tópico (atualiza sozinho conforme você marca 'Sim' na aba Artigos)</t>
  </si>
  <si>
    <t xml:space="preserve">Tópico</t>
  </si>
  <si>
    <t xml:space="preserve">Nº de artigos</t>
  </si>
  <si>
    <t xml:space="preserve">Lidos</t>
  </si>
  <si>
    <t xml:space="preserve">Fichados</t>
  </si>
  <si>
    <t xml:space="preserve">Parágrafos escritos</t>
  </si>
  <si>
    <t xml:space="preserve">% escrito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</si>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</sst>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D9F2F2"/>
      </patternFill>
    </fill>
    <fill>
      <patternFill patternType="solid">
        <fgColor rgb="FFFFF9C4"/>
        <bgColor rgb="FFFFF2CC"/>
      </patternFill>
    </fill>
    <fill>
      <patternFill patternType="solid">
        <fgColor rgb="FFFCE4D6"/>
        <bgColor rgb="FFF8E0E6"/>
      </patternFill>
    </fill>
    <fill>
      <patternFill patternType="solid">
        <fgColor rgb="FFE2EFDA"/>
        <bgColor rgb="FFD9F2F2"/>
      </patternFill>
    </fill>
    <fill>
      <patternFill patternType="solid">
        <fgColor rgb="FFFFF2CC"/>
        <bgColor rgb="FFFFF9C4"/>
      </patternFill>
    </fill>
    <fill>
      <patternFill patternType="solid">
        <fgColor rgb="FFEDE1F5"/>
        <bgColor rgb="FFF8E0E6"/>
      </patternFill>
    </fill>
    <fill>
      <patternFill patternType="solid">
        <fgColor rgb="FFF8E0E6"/>
        <bgColor rgb="FFFCE4D6"/>
      </patternFill>
    </fill>
    <fill>
      <patternFill patternType="solid">
        <fgColor rgb="FFD9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9F2F2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1F5"/>
          <bgColor rgb="FF000000"/>
        </patternFill>
      </fill>
    </dxf>
    <dxf>
      <fill>
        <patternFill patternType="solid">
          <fgColor rgb="FFF8E0E6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C4"/>
      <rgbColor rgb="FFD9F2F2"/>
      <rgbColor rgb="FF660066"/>
      <rgbColor rgb="FFFF8080"/>
      <rgbColor rgb="FF0066CC"/>
      <rgbColor rgb="FFEDE1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FF2CC"/>
      <rgbColor rgb="FFF8E0E6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18"/>
    <col collapsed="false" customWidth="true" hidden="false" outlineLevel="0" max="6" min="6" style="0" width="24"/>
    <col collapsed="false" customWidth="true" hidden="false" outlineLevel="0" max="8" min="7" style="0" width="46"/>
    <col collapsed="false" customWidth="true" hidden="false" outlineLevel="0" max="9" min="9" style="0" width="34"/>
    <col collapsed="false" customWidth="true" hidden="false" outlineLevel="0" max="11" min="10" style="0" width="1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31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52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n">
        <v>1</v>
      </c>
      <c r="B5" s="5" t="s">
        <v>14</v>
      </c>
      <c r="C5" s="6" t="s">
        <v>15</v>
      </c>
      <c r="D5" s="7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9"/>
      <c r="J5" s="10"/>
      <c r="K5" s="10"/>
      <c r="L5" s="10"/>
    </row>
    <row r="6" customFormat="false" ht="35.05" hidden="false" customHeight="false" outlineLevel="0" collapsed="false">
      <c r="A6" s="4" t="n">
        <v>2</v>
      </c>
      <c r="B6" s="5" t="s">
        <v>14</v>
      </c>
      <c r="C6" s="6" t="s">
        <v>21</v>
      </c>
      <c r="D6" s="7" t="s">
        <v>22</v>
      </c>
      <c r="E6" s="8" t="s">
        <v>23</v>
      </c>
      <c r="F6" s="8" t="s">
        <v>18</v>
      </c>
      <c r="G6" s="8" t="s">
        <v>24</v>
      </c>
      <c r="H6" s="8" t="s">
        <v>25</v>
      </c>
      <c r="I6" s="9" t="s">
        <v>26</v>
      </c>
      <c r="J6" s="10"/>
      <c r="K6" s="10"/>
      <c r="L6" s="10"/>
    </row>
    <row r="7" customFormat="false" ht="23.85" hidden="false" customHeight="false" outlineLevel="0" collapsed="false">
      <c r="A7" s="4" t="n">
        <v>3</v>
      </c>
      <c r="B7" s="5" t="s">
        <v>14</v>
      </c>
      <c r="C7" s="6" t="s">
        <v>27</v>
      </c>
      <c r="D7" s="7" t="s">
        <v>28</v>
      </c>
      <c r="E7" s="8" t="s">
        <v>23</v>
      </c>
      <c r="F7" s="8" t="s">
        <v>29</v>
      </c>
      <c r="G7" s="8" t="s">
        <v>30</v>
      </c>
      <c r="H7" s="8" t="s">
        <v>31</v>
      </c>
      <c r="I7" s="9"/>
      <c r="J7" s="10"/>
      <c r="K7" s="10"/>
      <c r="L7" s="10"/>
    </row>
    <row r="8" customFormat="false" ht="35.05" hidden="false" customHeight="false" outlineLevel="0" collapsed="false">
      <c r="A8" s="4" t="n">
        <v>4</v>
      </c>
      <c r="B8" s="5" t="s">
        <v>14</v>
      </c>
      <c r="C8" s="6" t="s">
        <v>32</v>
      </c>
      <c r="D8" s="7" t="s">
        <v>28</v>
      </c>
      <c r="E8" s="8" t="s">
        <v>33</v>
      </c>
      <c r="F8" s="8" t="s">
        <v>34</v>
      </c>
      <c r="G8" s="8" t="s">
        <v>35</v>
      </c>
      <c r="H8" s="8" t="s">
        <v>36</v>
      </c>
      <c r="I8" s="9"/>
      <c r="J8" s="10"/>
      <c r="K8" s="10"/>
      <c r="L8" s="10"/>
    </row>
    <row r="9" customFormat="false" ht="23.85" hidden="false" customHeight="false" outlineLevel="0" collapsed="false">
      <c r="A9" s="4" t="n">
        <v>5</v>
      </c>
      <c r="B9" s="5" t="s">
        <v>14</v>
      </c>
      <c r="C9" s="6" t="s">
        <v>37</v>
      </c>
      <c r="D9" s="7" t="s">
        <v>38</v>
      </c>
      <c r="E9" s="8" t="s">
        <v>17</v>
      </c>
      <c r="F9" s="8" t="s">
        <v>34</v>
      </c>
      <c r="G9" s="8" t="s">
        <v>39</v>
      </c>
      <c r="H9" s="8" t="s">
        <v>40</v>
      </c>
      <c r="I9" s="9"/>
      <c r="J9" s="10"/>
      <c r="K9" s="10"/>
      <c r="L9" s="10"/>
    </row>
    <row r="10" customFormat="false" ht="35.05" hidden="false" customHeight="false" outlineLevel="0" collapsed="false">
      <c r="A10" s="4" t="n">
        <v>6</v>
      </c>
      <c r="B10" s="5" t="s">
        <v>14</v>
      </c>
      <c r="C10" s="6" t="s">
        <v>41</v>
      </c>
      <c r="D10" s="7" t="s">
        <v>42</v>
      </c>
      <c r="E10" s="8" t="s">
        <v>23</v>
      </c>
      <c r="F10" s="8" t="s">
        <v>34</v>
      </c>
      <c r="G10" s="8" t="s">
        <v>43</v>
      </c>
      <c r="H10" s="8" t="s">
        <v>44</v>
      </c>
      <c r="I10" s="9"/>
      <c r="J10" s="10"/>
      <c r="K10" s="10"/>
      <c r="L10" s="10"/>
    </row>
    <row r="11" customFormat="false" ht="35.05" hidden="false" customHeight="false" outlineLevel="0" collapsed="false">
      <c r="A11" s="4" t="n">
        <v>7</v>
      </c>
      <c r="B11" s="5" t="s">
        <v>14</v>
      </c>
      <c r="C11" s="6" t="s">
        <v>45</v>
      </c>
      <c r="D11" s="7" t="s">
        <v>46</v>
      </c>
      <c r="E11" s="8" t="s">
        <v>33</v>
      </c>
      <c r="F11" s="8" t="s">
        <v>47</v>
      </c>
      <c r="G11" s="8" t="s">
        <v>48</v>
      </c>
      <c r="H11" s="8" t="s">
        <v>49</v>
      </c>
      <c r="I11" s="9" t="s">
        <v>50</v>
      </c>
      <c r="J11" s="10"/>
      <c r="K11" s="10"/>
      <c r="L11" s="10"/>
    </row>
    <row r="12" customFormat="false" ht="35.05" hidden="false" customHeight="false" outlineLevel="0" collapsed="false">
      <c r="A12" s="11" t="n">
        <v>8</v>
      </c>
      <c r="B12" s="12" t="s">
        <v>51</v>
      </c>
      <c r="C12" s="6" t="s">
        <v>52</v>
      </c>
      <c r="D12" s="7" t="s">
        <v>16</v>
      </c>
      <c r="E12" s="8" t="s">
        <v>53</v>
      </c>
      <c r="F12" s="8" t="s">
        <v>54</v>
      </c>
      <c r="G12" s="8" t="s">
        <v>55</v>
      </c>
      <c r="H12" s="8" t="s">
        <v>56</v>
      </c>
      <c r="I12" s="9" t="s">
        <v>57</v>
      </c>
      <c r="J12" s="10"/>
      <c r="K12" s="10"/>
      <c r="L12" s="10"/>
    </row>
    <row r="13" customFormat="false" ht="35.05" hidden="false" customHeight="false" outlineLevel="0" collapsed="false">
      <c r="A13" s="11" t="n">
        <v>9</v>
      </c>
      <c r="B13" s="12" t="s">
        <v>51</v>
      </c>
      <c r="C13" s="6" t="s">
        <v>58</v>
      </c>
      <c r="D13" s="7" t="s">
        <v>28</v>
      </c>
      <c r="E13" s="8" t="s">
        <v>59</v>
      </c>
      <c r="F13" s="8" t="s">
        <v>60</v>
      </c>
      <c r="G13" s="8" t="s">
        <v>61</v>
      </c>
      <c r="H13" s="8" t="s">
        <v>62</v>
      </c>
      <c r="I13" s="9"/>
      <c r="J13" s="10"/>
      <c r="K13" s="10"/>
      <c r="L13" s="10"/>
    </row>
    <row r="14" customFormat="false" ht="35.05" hidden="false" customHeight="false" outlineLevel="0" collapsed="false">
      <c r="A14" s="11" t="n">
        <v>10</v>
      </c>
      <c r="B14" s="12" t="s">
        <v>51</v>
      </c>
      <c r="C14" s="6" t="s">
        <v>63</v>
      </c>
      <c r="D14" s="7" t="s">
        <v>46</v>
      </c>
      <c r="E14" s="8" t="s">
        <v>59</v>
      </c>
      <c r="F14" s="8" t="s">
        <v>64</v>
      </c>
      <c r="G14" s="8" t="s">
        <v>65</v>
      </c>
      <c r="H14" s="8" t="s">
        <v>66</v>
      </c>
      <c r="I14" s="9" t="s">
        <v>50</v>
      </c>
      <c r="J14" s="10"/>
      <c r="K14" s="10"/>
      <c r="L14" s="10"/>
    </row>
    <row r="15" customFormat="false" ht="23.85" hidden="false" customHeight="false" outlineLevel="0" collapsed="false">
      <c r="A15" s="13" t="n">
        <v>11</v>
      </c>
      <c r="B15" s="14" t="s">
        <v>67</v>
      </c>
      <c r="C15" s="6" t="s">
        <v>68</v>
      </c>
      <c r="D15" s="7" t="s">
        <v>69</v>
      </c>
      <c r="E15" s="8" t="s">
        <v>70</v>
      </c>
      <c r="F15" s="8" t="s">
        <v>71</v>
      </c>
      <c r="G15" s="8" t="s">
        <v>72</v>
      </c>
      <c r="H15" s="8" t="s">
        <v>73</v>
      </c>
      <c r="I15" s="9"/>
      <c r="J15" s="10"/>
      <c r="K15" s="10"/>
      <c r="L15" s="10"/>
    </row>
    <row r="16" customFormat="false" ht="35.05" hidden="false" customHeight="false" outlineLevel="0" collapsed="false">
      <c r="A16" s="13" t="n">
        <v>12</v>
      </c>
      <c r="B16" s="14" t="s">
        <v>67</v>
      </c>
      <c r="C16" s="6" t="s">
        <v>74</v>
      </c>
      <c r="D16" s="7" t="s">
        <v>16</v>
      </c>
      <c r="E16" s="8" t="s">
        <v>70</v>
      </c>
      <c r="F16" s="8" t="s">
        <v>71</v>
      </c>
      <c r="G16" s="8" t="s">
        <v>75</v>
      </c>
      <c r="H16" s="8" t="s">
        <v>76</v>
      </c>
      <c r="I16" s="9"/>
      <c r="J16" s="10"/>
      <c r="K16" s="10"/>
      <c r="L16" s="10"/>
    </row>
    <row r="17" customFormat="false" ht="23.85" hidden="false" customHeight="false" outlineLevel="0" collapsed="false">
      <c r="A17" s="13" t="n">
        <v>13</v>
      </c>
      <c r="B17" s="14" t="s">
        <v>67</v>
      </c>
      <c r="C17" s="6" t="s">
        <v>77</v>
      </c>
      <c r="D17" s="7" t="s">
        <v>22</v>
      </c>
      <c r="E17" s="8" t="s">
        <v>70</v>
      </c>
      <c r="F17" s="8" t="s">
        <v>34</v>
      </c>
      <c r="G17" s="8" t="s">
        <v>78</v>
      </c>
      <c r="H17" s="8" t="s">
        <v>79</v>
      </c>
      <c r="I17" s="9"/>
      <c r="J17" s="10"/>
      <c r="K17" s="10"/>
      <c r="L17" s="10"/>
    </row>
    <row r="18" customFormat="false" ht="23.85" hidden="false" customHeight="false" outlineLevel="0" collapsed="false">
      <c r="A18" s="13" t="n">
        <v>14</v>
      </c>
      <c r="B18" s="14" t="s">
        <v>67</v>
      </c>
      <c r="C18" s="6" t="s">
        <v>80</v>
      </c>
      <c r="D18" s="7" t="s">
        <v>22</v>
      </c>
      <c r="E18" s="8" t="s">
        <v>70</v>
      </c>
      <c r="F18" s="8" t="s">
        <v>81</v>
      </c>
      <c r="G18" s="8" t="s">
        <v>82</v>
      </c>
      <c r="H18" s="8" t="s">
        <v>83</v>
      </c>
      <c r="I18" s="9"/>
      <c r="J18" s="10"/>
      <c r="K18" s="10"/>
      <c r="L18" s="10"/>
    </row>
    <row r="19" customFormat="false" ht="35.05" hidden="false" customHeight="false" outlineLevel="0" collapsed="false">
      <c r="A19" s="15" t="n">
        <v>15</v>
      </c>
      <c r="B19" s="16" t="s">
        <v>84</v>
      </c>
      <c r="C19" s="6" t="s">
        <v>85</v>
      </c>
      <c r="D19" s="7" t="s">
        <v>86</v>
      </c>
      <c r="E19" s="8" t="s">
        <v>87</v>
      </c>
      <c r="F19" s="8" t="s">
        <v>88</v>
      </c>
      <c r="G19" s="8" t="s">
        <v>89</v>
      </c>
      <c r="H19" s="8" t="s">
        <v>90</v>
      </c>
      <c r="I19" s="9" t="s">
        <v>50</v>
      </c>
      <c r="J19" s="10"/>
      <c r="K19" s="10"/>
      <c r="L19" s="10"/>
    </row>
    <row r="20" customFormat="false" ht="23.85" hidden="false" customHeight="false" outlineLevel="0" collapsed="false">
      <c r="A20" s="15" t="n">
        <v>16</v>
      </c>
      <c r="B20" s="16" t="s">
        <v>84</v>
      </c>
      <c r="C20" s="6" t="s">
        <v>91</v>
      </c>
      <c r="D20" s="7" t="s">
        <v>69</v>
      </c>
      <c r="E20" s="8" t="s">
        <v>70</v>
      </c>
      <c r="F20" s="8" t="s">
        <v>92</v>
      </c>
      <c r="G20" s="8" t="s">
        <v>93</v>
      </c>
      <c r="H20" s="8" t="s">
        <v>94</v>
      </c>
      <c r="I20" s="9"/>
      <c r="J20" s="10"/>
      <c r="K20" s="10"/>
      <c r="L20" s="10"/>
    </row>
    <row r="21" customFormat="false" ht="23.85" hidden="false" customHeight="false" outlineLevel="0" collapsed="false">
      <c r="A21" s="15" t="n">
        <v>17</v>
      </c>
      <c r="B21" s="16" t="s">
        <v>84</v>
      </c>
      <c r="C21" s="6" t="s">
        <v>95</v>
      </c>
      <c r="D21" s="7" t="s">
        <v>16</v>
      </c>
      <c r="E21" s="8" t="s">
        <v>70</v>
      </c>
      <c r="F21" s="8" t="s">
        <v>96</v>
      </c>
      <c r="G21" s="8" t="s">
        <v>97</v>
      </c>
      <c r="H21" s="8" t="s">
        <v>98</v>
      </c>
      <c r="I21" s="9"/>
      <c r="J21" s="10"/>
      <c r="K21" s="10"/>
      <c r="L21" s="10"/>
    </row>
    <row r="22" customFormat="false" ht="35.05" hidden="false" customHeight="false" outlineLevel="0" collapsed="false">
      <c r="A22" s="15" t="n">
        <v>18</v>
      </c>
      <c r="B22" s="16" t="s">
        <v>84</v>
      </c>
      <c r="C22" s="6" t="s">
        <v>99</v>
      </c>
      <c r="D22" s="7" t="s">
        <v>38</v>
      </c>
      <c r="E22" s="8" t="s">
        <v>70</v>
      </c>
      <c r="F22" s="8" t="s">
        <v>100</v>
      </c>
      <c r="G22" s="8" t="s">
        <v>101</v>
      </c>
      <c r="H22" s="8" t="s">
        <v>102</v>
      </c>
      <c r="I22" s="9"/>
      <c r="J22" s="10"/>
      <c r="K22" s="10"/>
      <c r="L22" s="10"/>
    </row>
    <row r="23" customFormat="false" ht="35.05" hidden="false" customHeight="false" outlineLevel="0" collapsed="false">
      <c r="A23" s="15" t="n">
        <v>19</v>
      </c>
      <c r="B23" s="16" t="s">
        <v>84</v>
      </c>
      <c r="C23" s="6" t="s">
        <v>103</v>
      </c>
      <c r="D23" s="7" t="s">
        <v>46</v>
      </c>
      <c r="E23" s="8" t="s">
        <v>70</v>
      </c>
      <c r="F23" s="8" t="s">
        <v>104</v>
      </c>
      <c r="G23" s="8" t="s">
        <v>105</v>
      </c>
      <c r="H23" s="8" t="s">
        <v>106</v>
      </c>
      <c r="I23" s="9" t="s">
        <v>107</v>
      </c>
      <c r="J23" s="10"/>
      <c r="K23" s="10"/>
      <c r="L23" s="10"/>
    </row>
    <row r="24" customFormat="false" ht="35.05" hidden="false" customHeight="false" outlineLevel="0" collapsed="false">
      <c r="A24" s="15" t="n">
        <v>20</v>
      </c>
      <c r="B24" s="16" t="s">
        <v>84</v>
      </c>
      <c r="C24" s="6" t="s">
        <v>108</v>
      </c>
      <c r="D24" s="7" t="s">
        <v>109</v>
      </c>
      <c r="E24" s="8" t="s">
        <v>70</v>
      </c>
      <c r="F24" s="8" t="s">
        <v>110</v>
      </c>
      <c r="G24" s="8" t="s">
        <v>111</v>
      </c>
      <c r="H24" s="8" t="s">
        <v>112</v>
      </c>
      <c r="I24" s="9" t="s">
        <v>113</v>
      </c>
      <c r="J24" s="10"/>
      <c r="K24" s="10"/>
      <c r="L24" s="10"/>
    </row>
    <row r="25" customFormat="false" ht="35.05" hidden="false" customHeight="false" outlineLevel="0" collapsed="false">
      <c r="A25" s="17" t="n">
        <v>21</v>
      </c>
      <c r="B25" s="18" t="s">
        <v>114</v>
      </c>
      <c r="C25" s="6" t="s">
        <v>115</v>
      </c>
      <c r="D25" s="7" t="s">
        <v>22</v>
      </c>
      <c r="E25" s="8" t="s">
        <v>70</v>
      </c>
      <c r="F25" s="8" t="s">
        <v>116</v>
      </c>
      <c r="G25" s="8" t="s">
        <v>117</v>
      </c>
      <c r="H25" s="8" t="s">
        <v>118</v>
      </c>
      <c r="I25" s="9" t="s">
        <v>26</v>
      </c>
      <c r="J25" s="10"/>
      <c r="K25" s="10"/>
      <c r="L25" s="10"/>
    </row>
    <row r="26" customFormat="false" ht="23.85" hidden="false" customHeight="false" outlineLevel="0" collapsed="false">
      <c r="A26" s="17" t="n">
        <v>22</v>
      </c>
      <c r="B26" s="18" t="s">
        <v>114</v>
      </c>
      <c r="C26" s="6" t="s">
        <v>119</v>
      </c>
      <c r="D26" s="7" t="s">
        <v>28</v>
      </c>
      <c r="E26" s="8" t="s">
        <v>17</v>
      </c>
      <c r="F26" s="8" t="s">
        <v>34</v>
      </c>
      <c r="G26" s="8" t="s">
        <v>120</v>
      </c>
      <c r="H26" s="8" t="s">
        <v>121</v>
      </c>
      <c r="I26" s="9"/>
      <c r="J26" s="10"/>
      <c r="K26" s="10"/>
      <c r="L26" s="10"/>
    </row>
    <row r="27" customFormat="false" ht="23.85" hidden="false" customHeight="false" outlineLevel="0" collapsed="false">
      <c r="A27" s="17" t="n">
        <v>23</v>
      </c>
      <c r="B27" s="18" t="s">
        <v>114</v>
      </c>
      <c r="C27" s="6" t="s">
        <v>122</v>
      </c>
      <c r="D27" s="7" t="s">
        <v>38</v>
      </c>
      <c r="E27" s="8" t="s">
        <v>70</v>
      </c>
      <c r="F27" s="8" t="s">
        <v>123</v>
      </c>
      <c r="G27" s="8" t="s">
        <v>124</v>
      </c>
      <c r="H27" s="8" t="s">
        <v>125</v>
      </c>
      <c r="I27" s="9"/>
      <c r="J27" s="10"/>
      <c r="K27" s="10"/>
      <c r="L27" s="10"/>
    </row>
    <row r="28" customFormat="false" ht="35.05" hidden="false" customHeight="false" outlineLevel="0" collapsed="false">
      <c r="A28" s="19" t="n">
        <v>24</v>
      </c>
      <c r="B28" s="20" t="s">
        <v>126</v>
      </c>
      <c r="C28" s="6" t="s">
        <v>127</v>
      </c>
      <c r="D28" s="7" t="s">
        <v>22</v>
      </c>
      <c r="E28" s="8" t="s">
        <v>70</v>
      </c>
      <c r="F28" s="8" t="s">
        <v>92</v>
      </c>
      <c r="G28" s="8" t="s">
        <v>128</v>
      </c>
      <c r="H28" s="8" t="s">
        <v>129</v>
      </c>
      <c r="I28" s="9"/>
      <c r="J28" s="10"/>
      <c r="K28" s="10"/>
      <c r="L28" s="10"/>
    </row>
    <row r="29" customFormat="false" ht="23.85" hidden="false" customHeight="false" outlineLevel="0" collapsed="false">
      <c r="A29" s="19" t="n">
        <v>25</v>
      </c>
      <c r="B29" s="20" t="s">
        <v>126</v>
      </c>
      <c r="C29" s="6" t="s">
        <v>130</v>
      </c>
      <c r="D29" s="7" t="s">
        <v>22</v>
      </c>
      <c r="E29" s="8" t="s">
        <v>70</v>
      </c>
      <c r="F29" s="8" t="s">
        <v>34</v>
      </c>
      <c r="G29" s="8" t="s">
        <v>131</v>
      </c>
      <c r="H29" s="8" t="s">
        <v>132</v>
      </c>
      <c r="I29" s="9" t="s">
        <v>133</v>
      </c>
      <c r="J29" s="10"/>
      <c r="K29" s="10"/>
      <c r="L29" s="10"/>
    </row>
    <row r="30" customFormat="false" ht="23.85" hidden="false" customHeight="false" outlineLevel="0" collapsed="false">
      <c r="A30" s="19" t="n">
        <v>26</v>
      </c>
      <c r="B30" s="20" t="s">
        <v>126</v>
      </c>
      <c r="C30" s="6" t="s">
        <v>134</v>
      </c>
      <c r="D30" s="7" t="s">
        <v>38</v>
      </c>
      <c r="E30" s="8" t="s">
        <v>23</v>
      </c>
      <c r="F30" s="8" t="s">
        <v>29</v>
      </c>
      <c r="G30" s="8" t="s">
        <v>135</v>
      </c>
      <c r="H30" s="8" t="s">
        <v>136</v>
      </c>
      <c r="I30" s="9"/>
      <c r="J30" s="10"/>
      <c r="K30" s="10"/>
      <c r="L30" s="10"/>
    </row>
    <row r="31" customFormat="false" ht="23.85" hidden="false" customHeight="false" outlineLevel="0" collapsed="false">
      <c r="A31" s="21" t="n">
        <v>27</v>
      </c>
      <c r="B31" s="22" t="s">
        <v>137</v>
      </c>
      <c r="C31" s="6" t="s">
        <v>138</v>
      </c>
      <c r="D31" s="7" t="s">
        <v>139</v>
      </c>
      <c r="E31" s="8" t="s">
        <v>53</v>
      </c>
      <c r="F31" s="8" t="s">
        <v>140</v>
      </c>
      <c r="G31" s="8" t="s">
        <v>141</v>
      </c>
      <c r="H31" s="8" t="s">
        <v>142</v>
      </c>
      <c r="I31" s="9" t="s">
        <v>50</v>
      </c>
      <c r="J31" s="10"/>
      <c r="K31" s="10"/>
      <c r="L31" s="10"/>
    </row>
    <row r="32" customFormat="false" ht="35.05" hidden="false" customHeight="false" outlineLevel="0" collapsed="false">
      <c r="A32" s="21" t="n">
        <v>28</v>
      </c>
      <c r="B32" s="22" t="s">
        <v>137</v>
      </c>
      <c r="C32" s="6" t="s">
        <v>143</v>
      </c>
      <c r="D32" s="7" t="s">
        <v>28</v>
      </c>
      <c r="E32" s="8" t="s">
        <v>33</v>
      </c>
      <c r="F32" s="8" t="s">
        <v>34</v>
      </c>
      <c r="G32" s="8" t="s">
        <v>144</v>
      </c>
      <c r="H32" s="8" t="s">
        <v>145</v>
      </c>
      <c r="I32" s="9" t="s">
        <v>146</v>
      </c>
      <c r="J32" s="10"/>
      <c r="K32" s="10"/>
      <c r="L32" s="10"/>
    </row>
    <row r="33" customFormat="false" ht="35.05" hidden="false" customHeight="false" outlineLevel="0" collapsed="false">
      <c r="A33" s="21" t="n">
        <v>29</v>
      </c>
      <c r="B33" s="22" t="s">
        <v>137</v>
      </c>
      <c r="C33" s="6" t="s">
        <v>147</v>
      </c>
      <c r="D33" s="7" t="s">
        <v>28</v>
      </c>
      <c r="E33" s="8" t="s">
        <v>70</v>
      </c>
      <c r="F33" s="8" t="s">
        <v>116</v>
      </c>
      <c r="G33" s="8" t="s">
        <v>148</v>
      </c>
      <c r="H33" s="8" t="s">
        <v>149</v>
      </c>
      <c r="I33" s="9" t="s">
        <v>150</v>
      </c>
      <c r="J33" s="10"/>
      <c r="K33" s="10"/>
      <c r="L33" s="10"/>
    </row>
    <row r="34" customFormat="false" ht="23.85" hidden="false" customHeight="false" outlineLevel="0" collapsed="false">
      <c r="A34" s="21" t="n">
        <v>30</v>
      </c>
      <c r="B34" s="22" t="s">
        <v>137</v>
      </c>
      <c r="C34" s="6" t="s">
        <v>151</v>
      </c>
      <c r="D34" s="7" t="s">
        <v>46</v>
      </c>
      <c r="E34" s="8" t="s">
        <v>152</v>
      </c>
      <c r="F34" s="8" t="s">
        <v>153</v>
      </c>
      <c r="G34" s="8" t="s">
        <v>154</v>
      </c>
      <c r="H34" s="8" t="s">
        <v>155</v>
      </c>
      <c r="I34" s="9" t="s">
        <v>156</v>
      </c>
      <c r="J34" s="10"/>
      <c r="K34" s="10"/>
      <c r="L34" s="10"/>
    </row>
  </sheetData>
  <autoFilter ref="A4:L34"/>
  <mergeCells count="1">
    <mergeCell ref="A2:L2"/>
  </mergeCells>
  <dataValidations count="1">
    <dataValidation allowBlank="true" errorStyle="stop" operator="between" showDropDown="false" showErrorMessage="false" showInputMessage="false" sqref="J5:L34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4"/>
  </cols>
  <sheetData>
    <row r="1" customFormat="false" ht="16.15" hidden="false" customHeight="false" outlineLevel="0" collapsed="false">
      <c r="A1" s="23" t="s">
        <v>157</v>
      </c>
    </row>
    <row r="3" customFormat="false" ht="26.85" hidden="false" customHeight="false" outlineLevel="0" collapsed="false">
      <c r="A3" s="3" t="s">
        <v>158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</row>
    <row r="4" customFormat="false" ht="15" hidden="false" customHeight="false" outlineLevel="0" collapsed="false">
      <c r="A4" s="24" t="s">
        <v>14</v>
      </c>
      <c r="B4" s="25" t="n">
        <f aca="false">COUNTIF(Artigos!$B$5:$B$34,A4)</f>
        <v>7</v>
      </c>
      <c r="C4" s="25" t="n">
        <f aca="false">COUNTIFS(Artigos!$B$5:$B$34,A4,Artigos!$J$5:$J$34,"Sim")</f>
        <v>0</v>
      </c>
      <c r="D4" s="25" t="n">
        <f aca="false">COUNTIFS(Artigos!$B$5:$B$34,A4,Artigos!$K$5:$K$34,"Sim")</f>
        <v>0</v>
      </c>
      <c r="E4" s="25" t="n">
        <f aca="false">COUNTIFS(Artigos!$B$5:$B$34,A4,Artigos!$L$5:$L$34,"Sim")</f>
        <v>0</v>
      </c>
      <c r="F4" s="26" t="n">
        <f aca="false">IF(B4=0,0,E4/B4)</f>
        <v>0</v>
      </c>
    </row>
    <row r="5" customFormat="false" ht="15" hidden="false" customHeight="false" outlineLevel="0" collapsed="false">
      <c r="A5" s="27" t="s">
        <v>51</v>
      </c>
      <c r="B5" s="25" t="n">
        <f aca="false">COUNTIF(Artigos!$B$5:$B$34,A5)</f>
        <v>3</v>
      </c>
      <c r="C5" s="25" t="n">
        <f aca="false">COUNTIFS(Artigos!$B$5:$B$34,A5,Artigos!$J$5:$J$34,"Sim")</f>
        <v>0</v>
      </c>
      <c r="D5" s="25" t="n">
        <f aca="false">COUNTIFS(Artigos!$B$5:$B$34,A5,Artigos!$K$5:$K$34,"Sim")</f>
        <v>0</v>
      </c>
      <c r="E5" s="25" t="n">
        <f aca="false">COUNTIFS(Artigos!$B$5:$B$34,A5,Artigos!$L$5:$L$34,"Sim")</f>
        <v>0</v>
      </c>
      <c r="F5" s="26" t="n">
        <f aca="false">IF(B5=0,0,E5/B5)</f>
        <v>0</v>
      </c>
    </row>
    <row r="6" customFormat="false" ht="15" hidden="false" customHeight="false" outlineLevel="0" collapsed="false">
      <c r="A6" s="28" t="s">
        <v>67</v>
      </c>
      <c r="B6" s="25" t="n">
        <f aca="false">COUNTIF(Artigos!$B$5:$B$34,A6)</f>
        <v>4</v>
      </c>
      <c r="C6" s="25" t="n">
        <f aca="false">COUNTIFS(Artigos!$B$5:$B$34,A6,Artigos!$J$5:$J$34,"Sim")</f>
        <v>0</v>
      </c>
      <c r="D6" s="25" t="n">
        <f aca="false">COUNTIFS(Artigos!$B$5:$B$34,A6,Artigos!$K$5:$K$34,"Sim")</f>
        <v>0</v>
      </c>
      <c r="E6" s="25" t="n">
        <f aca="false">COUNTIFS(Artigos!$B$5:$B$34,A6,Artigos!$L$5:$L$34,"Sim")</f>
        <v>0</v>
      </c>
      <c r="F6" s="26" t="n">
        <f aca="false">IF(B6=0,0,E6/B6)</f>
        <v>0</v>
      </c>
    </row>
    <row r="7" customFormat="false" ht="15" hidden="false" customHeight="false" outlineLevel="0" collapsed="false">
      <c r="A7" s="29" t="s">
        <v>84</v>
      </c>
      <c r="B7" s="25" t="n">
        <f aca="false">COUNTIF(Artigos!$B$5:$B$34,A7)</f>
        <v>6</v>
      </c>
      <c r="C7" s="25" t="n">
        <f aca="false">COUNTIFS(Artigos!$B$5:$B$34,A7,Artigos!$J$5:$J$34,"Sim")</f>
        <v>0</v>
      </c>
      <c r="D7" s="25" t="n">
        <f aca="false">COUNTIFS(Artigos!$B$5:$B$34,A7,Artigos!$K$5:$K$34,"Sim")</f>
        <v>0</v>
      </c>
      <c r="E7" s="25" t="n">
        <f aca="false">COUNTIFS(Artigos!$B$5:$B$34,A7,Artigos!$L$5:$L$34,"Sim")</f>
        <v>0</v>
      </c>
      <c r="F7" s="26" t="n">
        <f aca="false">IF(B7=0,0,E7/B7)</f>
        <v>0</v>
      </c>
    </row>
    <row r="8" customFormat="false" ht="15" hidden="false" customHeight="false" outlineLevel="0" collapsed="false">
      <c r="A8" s="30" t="s">
        <v>114</v>
      </c>
      <c r="B8" s="25" t="n">
        <f aca="false">COUNTIF(Artigos!$B$5:$B$34,A8)</f>
        <v>3</v>
      </c>
      <c r="C8" s="25" t="n">
        <f aca="false">COUNTIFS(Artigos!$B$5:$B$34,A8,Artigos!$J$5:$J$34,"Sim")</f>
        <v>0</v>
      </c>
      <c r="D8" s="25" t="n">
        <f aca="false">COUNTIFS(Artigos!$B$5:$B$34,A8,Artigos!$K$5:$K$34,"Sim")</f>
        <v>0</v>
      </c>
      <c r="E8" s="25" t="n">
        <f aca="false">COUNTIFS(Artigos!$B$5:$B$34,A8,Artigos!$L$5:$L$34,"Sim")</f>
        <v>0</v>
      </c>
      <c r="F8" s="26" t="n">
        <f aca="false">IF(B8=0,0,E8/B8)</f>
        <v>0</v>
      </c>
    </row>
    <row r="9" customFormat="false" ht="15" hidden="false" customHeight="false" outlineLevel="0" collapsed="false">
      <c r="A9" s="31" t="s">
        <v>126</v>
      </c>
      <c r="B9" s="25" t="n">
        <f aca="false">COUNTIF(Artigos!$B$5:$B$34,A9)</f>
        <v>3</v>
      </c>
      <c r="C9" s="25" t="n">
        <f aca="false">COUNTIFS(Artigos!$B$5:$B$34,A9,Artigos!$J$5:$J$34,"Sim")</f>
        <v>0</v>
      </c>
      <c r="D9" s="25" t="n">
        <f aca="false">COUNTIFS(Artigos!$B$5:$B$34,A9,Artigos!$K$5:$K$34,"Sim")</f>
        <v>0</v>
      </c>
      <c r="E9" s="25" t="n">
        <f aca="false">COUNTIFS(Artigos!$B$5:$B$34,A9,Artigos!$L$5:$L$34,"Sim")</f>
        <v>0</v>
      </c>
      <c r="F9" s="26" t="n">
        <f aca="false">IF(B9=0,0,E9/B9)</f>
        <v>0</v>
      </c>
    </row>
    <row r="10" customFormat="false" ht="15" hidden="false" customHeight="false" outlineLevel="0" collapsed="false">
      <c r="A10" s="32" t="s">
        <v>137</v>
      </c>
      <c r="B10" s="25" t="n">
        <f aca="false">COUNTIF(Artigos!$B$5:$B$34,A10)</f>
        <v>4</v>
      </c>
      <c r="C10" s="25" t="n">
        <f aca="false">COUNTIFS(Artigos!$B$5:$B$34,A10,Artigos!$J$5:$J$34,"Sim")</f>
        <v>0</v>
      </c>
      <c r="D10" s="25" t="n">
        <f aca="false">COUNTIFS(Artigos!$B$5:$B$34,A10,Artigos!$K$5:$K$34,"Sim")</f>
        <v>0</v>
      </c>
      <c r="E10" s="25" t="n">
        <f aca="false">COUNTIFS(Artigos!$B$5:$B$34,A10,Artigos!$L$5:$L$34,"Sim")</f>
        <v>0</v>
      </c>
      <c r="F10" s="26" t="n">
        <f aca="false">IF(B10=0,0,E10/B10)</f>
        <v>0</v>
      </c>
    </row>
    <row r="11" customFormat="false" ht="15" hidden="false" customHeight="false" outlineLevel="0" collapsed="false">
      <c r="A11" s="33" t="s">
        <v>164</v>
      </c>
      <c r="B11" s="34" t="n">
        <f aca="false">SUM(B4:B10)</f>
        <v>30</v>
      </c>
      <c r="C11" s="34" t="n">
        <f aca="false">SUM(C4:C10)</f>
        <v>0</v>
      </c>
      <c r="D11" s="34" t="n">
        <f aca="false">SUM(D4:D10)</f>
        <v>0</v>
      </c>
      <c r="E11" s="34" t="n">
        <f aca="false">SUM(E4:E10)</f>
        <v>0</v>
      </c>
      <c r="F11" s="35" t="n">
        <f aca="false">IF(B11=0,0,E11/B11)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2026-10-20T01:04:04Z</dcterms:created>
  <dc:creator>openpyxl</dc:creator>
  <dc:description/>
  <dc:language>en-US</dc:language>
  <cp:lastModifiedBy/>
  <dcterms:modified xsi:type="dcterms:W3CDTF">2026-10-20T01:04:05Z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